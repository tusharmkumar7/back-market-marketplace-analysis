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ushar Kumar\Desktop\"/>
    </mc:Choice>
  </mc:AlternateContent>
  <xr:revisionPtr revIDLastSave="0" documentId="13_ncr:1_{074D69E7-FC09-421D-9FD9-1FFDE90994EF}" xr6:coauthVersionLast="47" xr6:coauthVersionMax="47" xr10:uidLastSave="{00000000-0000-0000-0000-000000000000}"/>
  <bookViews>
    <workbookView xWindow="-98" yWindow="-98" windowWidth="21795" windowHeight="12975" tabRatio="500" xr2:uid="{00000000-000D-0000-FFFF-FFFF00000000}"/>
  </bookViews>
  <sheets>
    <sheet name="Cover" sheetId="1" r:id="rId1"/>
    <sheet name="Q1 – Category Revenue" sheetId="2" r:id="rId2"/>
    <sheet name="Q2 – Country Performance" sheetId="3" r:id="rId3"/>
    <sheet name="Q3 – Seller Returns" sheetId="4" r:id="rId4"/>
    <sheet name="Q4 – Category Returns" sheetId="5" r:id="rId5"/>
    <sheet name="Q5 – Top Seller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9" i="6" l="1"/>
  <c r="C28" i="6"/>
  <c r="C27" i="6"/>
  <c r="C26" i="6"/>
  <c r="C25" i="6"/>
  <c r="C24" i="6"/>
  <c r="C23" i="6"/>
  <c r="C24" i="5"/>
  <c r="C23" i="5"/>
  <c r="C22" i="5"/>
  <c r="C21" i="5"/>
  <c r="C20" i="5"/>
  <c r="C19" i="5"/>
  <c r="E15" i="5"/>
  <c r="E14" i="5"/>
  <c r="E13" i="5"/>
  <c r="E12" i="5"/>
  <c r="E11" i="5"/>
  <c r="E10" i="5"/>
  <c r="C28" i="4"/>
  <c r="C27" i="4"/>
  <c r="C26" i="4"/>
  <c r="C25" i="4"/>
  <c r="C24" i="4"/>
  <c r="C23" i="4"/>
  <c r="C29" i="3"/>
  <c r="C28" i="3"/>
  <c r="C27" i="3"/>
  <c r="C26" i="3"/>
  <c r="C25" i="3"/>
  <c r="C24" i="3"/>
  <c r="E20" i="3"/>
  <c r="D20" i="3"/>
  <c r="C20" i="3"/>
  <c r="C25" i="2"/>
  <c r="C24" i="2"/>
  <c r="C23" i="2"/>
  <c r="C22" i="2"/>
  <c r="C21" i="2"/>
  <c r="C20" i="2"/>
  <c r="E16" i="2"/>
  <c r="D16" i="2"/>
  <c r="C16" i="2"/>
</calcChain>
</file>

<file path=xl/sharedStrings.xml><?xml version="1.0" encoding="utf-8"?>
<sst xmlns="http://schemas.openxmlformats.org/spreadsheetml/2006/main" count="230" uniqueCount="155">
  <si>
    <t>Business Data Analyst Portfolio Project</t>
  </si>
  <si>
    <t>Dataset: 60 Sellers  |  600 Orders  |  Jan 2023 – Dec 2025</t>
  </si>
  <si>
    <t>WORKBOOK INDEX</t>
  </si>
  <si>
    <t>Sheet</t>
  </si>
  <si>
    <t>Business Question</t>
  </si>
  <si>
    <t>Q1 – Category Revenue</t>
  </si>
  <si>
    <t>Which product categories generate the most revenue?</t>
  </si>
  <si>
    <t>Q2 – Country Performance</t>
  </si>
  <si>
    <t>Which customer countries drive the most orders &amp; revenue?</t>
  </si>
  <si>
    <t>Q3 – Seller Returns</t>
  </si>
  <si>
    <t>Which sellers have the highest number of returned orders?</t>
  </si>
  <si>
    <t>Q4 – Category Returns</t>
  </si>
  <si>
    <t>Which product categories have the most returned orders?</t>
  </si>
  <si>
    <t>Q5 – Top Sellers</t>
  </si>
  <si>
    <t>Which sellers had the highest completed order volume?</t>
  </si>
  <si>
    <t>Source: PostgreSQL Q1 query  |  Status: Completed orders only  |  Period: 2023–2025</t>
  </si>
  <si>
    <t>RAW DATA  (exported from PostgreSQL)</t>
  </si>
  <si>
    <t>Product Category</t>
  </si>
  <si>
    <t>Total Orders</t>
  </si>
  <si>
    <t>Total Revenue (€)</t>
  </si>
  <si>
    <t>Avg Order Value (€)</t>
  </si>
  <si>
    <t>Laptops</t>
  </si>
  <si>
    <t>Smartphones</t>
  </si>
  <si>
    <t>Tablets</t>
  </si>
  <si>
    <t>Game Consoles</t>
  </si>
  <si>
    <t>Smartwatches</t>
  </si>
  <si>
    <t>Headphones</t>
  </si>
  <si>
    <t>TOTAL</t>
  </si>
  <si>
    <t>ANALYSIS  (Excel formulas for practice)</t>
  </si>
  <si>
    <t>Metric</t>
  </si>
  <si>
    <t>Result</t>
  </si>
  <si>
    <t>Highest Revenue Category</t>
  </si>
  <si>
    <t>Highest Avg Order Value</t>
  </si>
  <si>
    <t>Total Revenue All Categories</t>
  </si>
  <si>
    <t>Laptops % of Total Revenue</t>
  </si>
  <si>
    <t>Smartphones % of Total Revenue</t>
  </si>
  <si>
    <t>Revenue Flag (&gt;50k = High)</t>
  </si>
  <si>
    <t>KEY INSIGHT</t>
  </si>
  <si>
    <t>Laptops lead total revenue (€71K) despite fewer orders than Smartphones (97 vs 152), driven by a significantly higher Avg Order Value of €676 vs €355. This signals that Laptops are Back Market's highest-value category per transaction.</t>
  </si>
  <si>
    <t>Which customer countries drive the most orders and revenue?</t>
  </si>
  <si>
    <t>Source: PostgreSQL Q2 query  |  Status: Completed orders only  |  Period: 2023–2025</t>
  </si>
  <si>
    <t>Customer Country</t>
  </si>
  <si>
    <t>Belgium</t>
  </si>
  <si>
    <t>Germany</t>
  </si>
  <si>
    <t>Japan</t>
  </si>
  <si>
    <t>Netherlands</t>
  </si>
  <si>
    <t>UK</t>
  </si>
  <si>
    <t>Spain</t>
  </si>
  <si>
    <t>Italy</t>
  </si>
  <si>
    <t>USA</t>
  </si>
  <si>
    <t>Portugal</t>
  </si>
  <si>
    <t>France</t>
  </si>
  <si>
    <t>Top Country by Orders</t>
  </si>
  <si>
    <t>Top Country by Revenue</t>
  </si>
  <si>
    <t>Belgium % of Total Orders</t>
  </si>
  <si>
    <t>Belgium % of Total Revenue</t>
  </si>
  <si>
    <t>Rank Belgium by Revenue</t>
  </si>
  <si>
    <t>High Value Market Flag</t>
  </si>
  <si>
    <t>Belgium leads by order volume (58 orders) and total revenue (€23.7K), followed closely by Germany and Japan. Interestingly, Spain has the highest Avg Order Value (€380), suggesting Spanish customers skew toward premium categories like Laptops and Smartphones.</t>
  </si>
  <si>
    <t>Source: PostgreSQL Q3 query  |  LEFT JOIN sellers + orders  |  Period: 2023–2025</t>
  </si>
  <si>
    <t>RAW DATA — TOP 10 SELLERS BY RETURNS  (exported from PostgreSQL)</t>
  </si>
  <si>
    <t>Seller ID</t>
  </si>
  <si>
    <t>Seller Name</t>
  </si>
  <si>
    <t>Country</t>
  </si>
  <si>
    <t>Tier</t>
  </si>
  <si>
    <t>Avg Rating</t>
  </si>
  <si>
    <t>Total Returns</t>
  </si>
  <si>
    <t>S010</t>
  </si>
  <si>
    <t>GadgetBack_JA_10</t>
  </si>
  <si>
    <t>Bronze</t>
  </si>
  <si>
    <t>S015</t>
  </si>
  <si>
    <t>ChipSaver_US_15</t>
  </si>
  <si>
    <t>Silver</t>
  </si>
  <si>
    <t>S030</t>
  </si>
  <si>
    <t>ChipSaver_JA_30</t>
  </si>
  <si>
    <t>S034</t>
  </si>
  <si>
    <t>SmartRefurb_IT_34</t>
  </si>
  <si>
    <t>S020</t>
  </si>
  <si>
    <t>EcoTech_JA_20</t>
  </si>
  <si>
    <t>S018</t>
  </si>
  <si>
    <t>ReStore_BE_18</t>
  </si>
  <si>
    <t>S035</t>
  </si>
  <si>
    <t>EcoTech_US_35</t>
  </si>
  <si>
    <t>S036</t>
  </si>
  <si>
    <t>CircuitSave_UK_36</t>
  </si>
  <si>
    <t>S039</t>
  </si>
  <si>
    <t>TechCycle_PO_39</t>
  </si>
  <si>
    <t>S040</t>
  </si>
  <si>
    <t>GadgetBack_BE_40</t>
  </si>
  <si>
    <t>Total Returns (Top 10 sellers)</t>
  </si>
  <si>
    <t>Avg Rating of Top Returners</t>
  </si>
  <si>
    <t>Count of Bronze Tier Sellers</t>
  </si>
  <si>
    <t>Count of Silver Tier Sellers</t>
  </si>
  <si>
    <t>Flag: Rating below 4.0</t>
  </si>
  <si>
    <t>VLOOKUP: Tier for S010</t>
  </si>
  <si>
    <t>7 out of the top 10 sellers by returns are Bronze tier with ratings below 4.0. Japan has 3 sellers in the top 10, suggesting a geographic cluster of quality risk. Back Market should prioritise seller coaching or listing restrictions for Bronze sellers with 3+ returns.</t>
  </si>
  <si>
    <t>Source: PostgreSQL Q4 query  |  Status: Returned orders only  |  Period: 2023–2025</t>
  </si>
  <si>
    <t>Completed Orders (Q1)</t>
  </si>
  <si>
    <t>Return Rate (%)</t>
  </si>
  <si>
    <t>Total Returns All Categories</t>
  </si>
  <si>
    <t>Category with Most Returns</t>
  </si>
  <si>
    <t>Laptops Return Rate</t>
  </si>
  <si>
    <t>Smartphones Return Rate</t>
  </si>
  <si>
    <t>Flag Laptops: Return &gt;20%</t>
  </si>
  <si>
    <t>Count categories with &gt;9 returns</t>
  </si>
  <si>
    <t>Laptops have the highest absolute returns (24) and a return rate of ~25% — the highest of all categories. Despite being the top revenue driver, Laptops carry the highest quality risk. Back Market should investigate whether Laptop return reasons cluster around specific sellers or product grades.</t>
  </si>
  <si>
    <t>Which sellers had the highest completed order volume across 2023–2025?</t>
  </si>
  <si>
    <t>Source: PostgreSQL Q5 query  |  INNER JOIN sellers + orders  |  Period: 2023–2025</t>
  </si>
  <si>
    <t>RAW DATA — TOP 10 SELLERS BY COMPLETED ORDERS  (exported from PostgreSQL)</t>
  </si>
  <si>
    <t>City</t>
  </si>
  <si>
    <t>Completed Orders</t>
  </si>
  <si>
    <t>S041</t>
  </si>
  <si>
    <t>RenewTech_FR_41</t>
  </si>
  <si>
    <t>Bordeaux</t>
  </si>
  <si>
    <t>Gold</t>
  </si>
  <si>
    <t>S042</t>
  </si>
  <si>
    <t>BlueTech_GE_42</t>
  </si>
  <si>
    <t>Frankfurt</t>
  </si>
  <si>
    <t>S044</t>
  </si>
  <si>
    <t>PixelRefurb_IT_44</t>
  </si>
  <si>
    <t>Milan</t>
  </si>
  <si>
    <t>S021</t>
  </si>
  <si>
    <t>CircuitSave_FR_21</t>
  </si>
  <si>
    <t>Lyon</t>
  </si>
  <si>
    <t>S048</t>
  </si>
  <si>
    <t>ReStore_BE_48</t>
  </si>
  <si>
    <t>Brussels</t>
  </si>
  <si>
    <t>Tokyo</t>
  </si>
  <si>
    <t>S006</t>
  </si>
  <si>
    <t>CircuitSave_UK_06</t>
  </si>
  <si>
    <t>London</t>
  </si>
  <si>
    <t>S043</t>
  </si>
  <si>
    <t>NextLife_SP_43</t>
  </si>
  <si>
    <t>Madrid</t>
  </si>
  <si>
    <t>S003</t>
  </si>
  <si>
    <t>ReStore_SP_03</t>
  </si>
  <si>
    <t>Valencia</t>
  </si>
  <si>
    <t>S007</t>
  </si>
  <si>
    <t>RefurbPro_NE_07</t>
  </si>
  <si>
    <t>Amsterdam</t>
  </si>
  <si>
    <t>Top Seller by Orders</t>
  </si>
  <si>
    <t>Max Completed Orders</t>
  </si>
  <si>
    <t>Count of Gold Tier in Top 10</t>
  </si>
  <si>
    <t>Count of Bronze in Top 10</t>
  </si>
  <si>
    <t>Rank S041 by Completed Orders</t>
  </si>
  <si>
    <t>VLOOKUP: Country for S042</t>
  </si>
  <si>
    <t>Flag: Orders &gt; 12 = Key Seller</t>
  </si>
  <si>
    <t>Gold tier sellers dominate the top 4 positions. France has 2 sellers in the top 4, making it the strongest seller nation by volume. Notably, 2 Bronze sellers (S048, S020) appear in the top 10 — these are high-volume but potentially high-risk sellers that warrant closer monitoring.</t>
  </si>
  <si>
    <t xml:space="preserve">ANALYSIS </t>
  </si>
  <si>
    <t>Category Revenue Analysis</t>
  </si>
  <si>
    <t>Country Performance Analysis</t>
  </si>
  <si>
    <t>Seller Return Analysis</t>
  </si>
  <si>
    <t>Category Return Analysis</t>
  </si>
  <si>
    <t>Top Seller Performance (2023–2025)</t>
  </si>
  <si>
    <t>BACK MARKET:  MARKETPLACE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</si>
</sst>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b/>
      <sz val="10"/>
      <color rgb="FFFFFFFF"/>
      <name val="Arial"/>
      <charset val="1"/>
    </font>
    <font>
      <sz val="10"/>
      <color rgb="FF1A1A1A"/>
      <name val="Arial"/>
      <charset val="1"/>
    </font>
    <font>
      <b/>
      <sz val="10"/>
      <color rgb="FF1A1A1A"/>
      <name val="Arial"/>
      <charset val="1"/>
    </font>
    <font>
      <i/>
      <sz val="10"/>
      <color rgb="FF1A1A1A"/>
      <name val="Arial"/>
      <charset val="1"/>
    </font>
    <font>
      <b/>
      <sz val="10"/>
      <color rgb="FFC0392B"/>
      <name val="Arial"/>
      <charset val="1"/>
    </font>
    <font>
      <b/>
      <sz val="10"/>
      <color rgb="FFF39C12"/>
      <name val="Arial"/>
      <charset val="1"/>
    </font>
    <font>
      <b/>
      <sz val="10"/>
      <color rgb="FF2D6A9F"/>
      <name val="Arial"/>
      <charset val="1"/>
    </font>
    <font>
      <b/>
      <sz val="10"/>
      <color theme="1"/>
      <name val="Arial"/>
      <family val="2"/>
    </font>
    <font>
      <b/>
      <sz val="16"/>
      <color theme="1"/>
      <name val="Arial"/>
      <family val="2"/>
    </font>
    <font>
      <b/>
      <sz val="11"/>
      <color theme="1"/>
      <name val="Arial"/>
      <family val="2"/>
    </font>
    <font>
      <sz val="10"/>
      <color theme="1"/>
      <name val="Arial"/>
      <family val="2"/>
    </font>
    <font>
      <b/>
      <sz val="14"/>
      <color theme="1"/>
      <name val="Arial"/>
      <family val="2"/>
    </font>
    <font>
      <sz val="9"/>
      <color theme="1"/>
      <name val="Arial"/>
      <family val="2"/>
    </font>
    <font>
      <b/>
      <sz val="12"/>
      <color theme="1"/>
      <name val="Arial"/>
      <family val="2"/>
    </font>
    <font>
      <sz val="8"/>
      <color theme="1"/>
      <name val="Arial"/>
      <family val="2"/>
    </font>
    <font>
      <sz val="12"/>
      <color theme="1"/>
      <name val="Arial"/>
      <family val="2"/>
    </font>
    <font>
      <b/>
      <sz val="10"/>
      <color rgb="FF1A1A1A"/>
      <name val="Arial"/>
      <family val="2"/>
    </font>
  </fonts>
  <fills count="13">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79998168889431442"/>
        <bgColor rgb="FFF5F5F5"/>
      </patternFill>
    </fill>
    <fill>
      <patternFill patternType="solid">
        <fgColor theme="0"/>
        <bgColor rgb="FF666699"/>
      </patternFill>
    </fill>
    <fill>
      <patternFill patternType="solid">
        <fgColor theme="0" tint="-4.9989318521683403E-2"/>
        <bgColor rgb="FFF5F5F5"/>
      </patternFill>
    </fill>
    <fill>
      <patternFill patternType="solid">
        <fgColor theme="6" tint="0.59999389629810485"/>
        <bgColor rgb="FF008080"/>
      </patternFill>
    </fill>
    <fill>
      <patternFill patternType="solid">
        <fgColor theme="6" tint="0.59999389629810485"/>
        <bgColor rgb="FF666699"/>
      </patternFill>
    </fill>
    <fill>
      <patternFill patternType="solid">
        <fgColor theme="0" tint="-4.9989318521683403E-2"/>
        <bgColor indexed="64"/>
      </patternFill>
    </fill>
    <fill>
      <patternFill patternType="solid">
        <fgColor theme="0" tint="-4.9989318521683403E-2"/>
        <bgColor rgb="FFF9F9F9"/>
      </patternFill>
    </fill>
    <fill>
      <patternFill patternType="solid">
        <fgColor theme="0" tint="-4.9989318521683403E-2"/>
        <bgColor rgb="FF1A1A1A"/>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rgb="FFCCCCCC"/>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rgb="FFCCCCCC"/>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2">
    <xf numFmtId="0" fontId="0" fillId="0" borderId="0" xfId="0"/>
    <xf numFmtId="0" fontId="0" fillId="3" borderId="0" xfId="0" applyFill="1"/>
    <xf numFmtId="0" fontId="14" fillId="0" borderId="0" xfId="0" applyFont="1" applyAlignment="1">
      <alignment horizontal="left" vertical="center" wrapText="1"/>
    </xf>
    <xf numFmtId="0" fontId="15" fillId="0" borderId="0" xfId="0" applyFont="1" applyAlignment="1">
      <alignment horizontal="left" vertical="center" wrapText="1"/>
    </xf>
    <xf numFmtId="0" fontId="13" fillId="0" borderId="0" xfId="0" applyFont="1" applyAlignment="1">
      <alignment horizontal="left" vertical="center" wrapText="1"/>
    </xf>
    <xf numFmtId="0" fontId="0" fillId="2" borderId="0" xfId="0" applyFill="1"/>
    <xf numFmtId="0" fontId="0" fillId="5" borderId="0" xfId="0" applyFill="1"/>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1" fillId="2" borderId="2"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3" fillId="3" borderId="0" xfId="0" applyFont="1" applyFill="1"/>
    <xf numFmtId="0" fontId="17" fillId="3" borderId="0" xfId="0" applyFont="1" applyFill="1"/>
    <xf numFmtId="0" fontId="1" fillId="6" borderId="0" xfId="0" applyFont="1" applyFill="1" applyAlignment="1">
      <alignment horizontal="center" vertical="center" wrapText="1"/>
    </xf>
    <xf numFmtId="0" fontId="3" fillId="0" borderId="0" xfId="0" applyFont="1"/>
    <xf numFmtId="0" fontId="17" fillId="0" borderId="0" xfId="0" applyFont="1"/>
    <xf numFmtId="0" fontId="14" fillId="4" borderId="9" xfId="0" applyFont="1" applyFill="1" applyBorder="1" applyAlignment="1">
      <alignment horizontal="left" vertical="center" wrapText="1"/>
    </xf>
    <xf numFmtId="0" fontId="13" fillId="4" borderId="10" xfId="0" applyFont="1" applyFill="1" applyBorder="1" applyAlignment="1">
      <alignment horizontal="left" vertical="center" wrapText="1"/>
    </xf>
    <xf numFmtId="0" fontId="15" fillId="4" borderId="11" xfId="0" applyFont="1" applyFill="1" applyBorder="1" applyAlignment="1">
      <alignment horizontal="left" vertical="center" wrapText="1"/>
    </xf>
    <xf numFmtId="0" fontId="8" fillId="8" borderId="9" xfId="0" applyFont="1" applyFill="1" applyBorder="1" applyAlignment="1">
      <alignment horizontal="center" vertical="center" wrapText="1"/>
    </xf>
    <xf numFmtId="0" fontId="4" fillId="7" borderId="12" xfId="0" applyFont="1" applyFill="1" applyBorder="1" applyAlignment="1">
      <alignment horizontal="left" vertical="center" wrapText="1"/>
    </xf>
    <xf numFmtId="0" fontId="4" fillId="7" borderId="13" xfId="0" applyFont="1" applyFill="1" applyBorder="1" applyAlignment="1">
      <alignment horizontal="left" vertical="center" wrapText="1"/>
    </xf>
    <xf numFmtId="0" fontId="4" fillId="7" borderId="8" xfId="0" applyFont="1" applyFill="1" applyBorder="1" applyAlignment="1">
      <alignment horizontal="left" vertical="center" wrapText="1"/>
    </xf>
    <xf numFmtId="0" fontId="15" fillId="4" borderId="10" xfId="0" applyFont="1" applyFill="1" applyBorder="1" applyAlignment="1">
      <alignment horizontal="left" vertical="center" wrapText="1"/>
    </xf>
    <xf numFmtId="0" fontId="8" fillId="4" borderId="9" xfId="0" applyFont="1" applyFill="1" applyBorder="1" applyAlignment="1">
      <alignment horizontal="center" vertical="center" wrapText="1"/>
    </xf>
    <xf numFmtId="0" fontId="4" fillId="10" borderId="12" xfId="0" applyFont="1" applyFill="1" applyBorder="1" applyAlignment="1">
      <alignment horizontal="left" vertical="center" wrapText="1"/>
    </xf>
    <xf numFmtId="0" fontId="4" fillId="10" borderId="13" xfId="0" applyFont="1" applyFill="1" applyBorder="1" applyAlignment="1">
      <alignment horizontal="left" vertical="center" wrapText="1"/>
    </xf>
    <xf numFmtId="0" fontId="4" fillId="10" borderId="8" xfId="0" applyFont="1" applyFill="1" applyBorder="1" applyAlignment="1">
      <alignment horizontal="left" vertical="center" wrapText="1"/>
    </xf>
    <xf numFmtId="0" fontId="12" fillId="4" borderId="9" xfId="0" applyFont="1" applyFill="1" applyBorder="1" applyAlignment="1">
      <alignment horizontal="left" vertical="center" wrapText="1"/>
    </xf>
    <xf numFmtId="0" fontId="11" fillId="4" borderId="10" xfId="0" applyFont="1" applyFill="1" applyBorder="1" applyAlignment="1">
      <alignment horizontal="left" vertical="center" wrapText="1"/>
    </xf>
    <xf numFmtId="0" fontId="13" fillId="4" borderId="11" xfId="0" applyFont="1" applyFill="1" applyBorder="1" applyAlignment="1">
      <alignment horizontal="left" vertical="center" wrapText="1"/>
    </xf>
    <xf numFmtId="0" fontId="8" fillId="2" borderId="9" xfId="0" applyFont="1" applyFill="1" applyBorder="1" applyAlignment="1">
      <alignment horizontal="center" vertical="center" wrapText="1"/>
    </xf>
    <xf numFmtId="0" fontId="10" fillId="2" borderId="7" xfId="0" applyFont="1" applyFill="1" applyBorder="1" applyAlignment="1">
      <alignment horizontal="left" vertical="center" wrapText="1"/>
    </xf>
    <xf numFmtId="0" fontId="2" fillId="11" borderId="1" xfId="0" applyFont="1" applyFill="1" applyBorder="1" applyAlignment="1">
      <alignment horizontal="center" vertical="center" wrapText="1"/>
    </xf>
    <xf numFmtId="4" fontId="2" fillId="11" borderId="1" xfId="0" applyNumberFormat="1" applyFont="1" applyFill="1" applyBorder="1" applyAlignment="1">
      <alignment horizontal="center" vertical="center" wrapText="1"/>
    </xf>
    <xf numFmtId="0" fontId="8" fillId="8" borderId="14"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8" borderId="16" xfId="0" applyFont="1" applyFill="1" applyBorder="1" applyAlignment="1">
      <alignment horizontal="center" vertical="center" wrapText="1"/>
    </xf>
    <xf numFmtId="0" fontId="2" fillId="11" borderId="17" xfId="0" applyFont="1" applyFill="1" applyBorder="1" applyAlignment="1">
      <alignment horizontal="left" vertical="center" wrapText="1"/>
    </xf>
    <xf numFmtId="4" fontId="2" fillId="11" borderId="18" xfId="0" applyNumberFormat="1" applyFont="1" applyFill="1" applyBorder="1" applyAlignment="1">
      <alignment horizontal="center" vertical="center" wrapText="1"/>
    </xf>
    <xf numFmtId="0" fontId="8" fillId="12" borderId="19" xfId="0" applyFont="1" applyFill="1" applyBorder="1" applyAlignment="1">
      <alignment horizontal="center" vertical="center" wrapText="1"/>
    </xf>
    <xf numFmtId="0" fontId="8" fillId="12" borderId="20" xfId="0" applyFont="1" applyFill="1" applyBorder="1" applyAlignment="1">
      <alignment horizontal="center" vertical="center" wrapText="1"/>
    </xf>
    <xf numFmtId="4" fontId="8" fillId="12" borderId="20" xfId="0" applyNumberFormat="1" applyFont="1" applyFill="1" applyBorder="1" applyAlignment="1">
      <alignment horizontal="center" vertical="center" wrapText="1"/>
    </xf>
    <xf numFmtId="4" fontId="8" fillId="12" borderId="21" xfId="0" applyNumberFormat="1" applyFont="1" applyFill="1" applyBorder="1" applyAlignment="1">
      <alignment horizontal="center" vertical="center" wrapText="1"/>
    </xf>
    <xf numFmtId="0" fontId="8" fillId="9" borderId="14" xfId="0" applyFont="1" applyFill="1" applyBorder="1" applyAlignment="1">
      <alignment horizontal="center" vertical="center" wrapText="1"/>
    </xf>
    <xf numFmtId="0" fontId="8" fillId="9" borderId="16" xfId="0" applyFont="1" applyFill="1" applyBorder="1" applyAlignment="1">
      <alignment horizontal="center" vertical="center" wrapText="1"/>
    </xf>
    <xf numFmtId="0" fontId="3" fillId="11" borderId="18" xfId="0" applyFont="1" applyFill="1" applyBorder="1" applyAlignment="1">
      <alignment horizontal="center" vertical="center" wrapText="1"/>
    </xf>
    <xf numFmtId="164" fontId="3" fillId="11" borderId="18" xfId="0" applyNumberFormat="1" applyFont="1" applyFill="1" applyBorder="1" applyAlignment="1">
      <alignment horizontal="center" vertical="center" wrapText="1"/>
    </xf>
    <xf numFmtId="0" fontId="2" fillId="11" borderId="19" xfId="0" applyFont="1" applyFill="1" applyBorder="1" applyAlignment="1">
      <alignment horizontal="left" vertical="center" wrapText="1"/>
    </xf>
    <xf numFmtId="0" fontId="3" fillId="11" borderId="21" xfId="0" applyFont="1" applyFill="1" applyBorder="1" applyAlignment="1">
      <alignment horizontal="center" vertical="center" wrapText="1"/>
    </xf>
    <xf numFmtId="0" fontId="2" fillId="10"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8" fillId="4" borderId="1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2" fillId="10" borderId="17" xfId="0" applyFont="1" applyFill="1" applyBorder="1" applyAlignment="1">
      <alignment horizontal="left" vertical="center" wrapText="1"/>
    </xf>
    <xf numFmtId="4" fontId="2" fillId="0" borderId="18" xfId="0" applyNumberFormat="1" applyFont="1" applyBorder="1" applyAlignment="1">
      <alignment horizontal="center" vertical="center" wrapText="1"/>
    </xf>
    <xf numFmtId="0" fontId="8" fillId="10" borderId="19" xfId="0" applyFont="1" applyFill="1" applyBorder="1" applyAlignment="1">
      <alignment horizontal="center" vertical="center" wrapText="1"/>
    </xf>
    <xf numFmtId="0" fontId="1" fillId="10" borderId="20" xfId="0" applyFont="1" applyFill="1" applyBorder="1" applyAlignment="1">
      <alignment horizontal="center" vertical="center" wrapText="1"/>
    </xf>
    <xf numFmtId="4" fontId="8" fillId="10" borderId="20" xfId="0" applyNumberFormat="1" applyFont="1" applyFill="1" applyBorder="1" applyAlignment="1">
      <alignment horizontal="center" vertical="center" wrapText="1"/>
    </xf>
    <xf numFmtId="4" fontId="8" fillId="10" borderId="21"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164" fontId="3" fillId="10" borderId="18" xfId="0" applyNumberFormat="1" applyFont="1" applyFill="1" applyBorder="1" applyAlignment="1">
      <alignment horizontal="center" vertical="center" wrapText="1"/>
    </xf>
    <xf numFmtId="0" fontId="2" fillId="10" borderId="19" xfId="0" applyFont="1" applyFill="1" applyBorder="1" applyAlignment="1">
      <alignment horizontal="left" vertical="center" wrapText="1"/>
    </xf>
    <xf numFmtId="0" fontId="3" fillId="10" borderId="2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2" fillId="10" borderId="18" xfId="0" applyFont="1" applyFill="1" applyBorder="1" applyAlignment="1">
      <alignment horizontal="center" vertical="center" wrapText="1"/>
    </xf>
    <xf numFmtId="0" fontId="2" fillId="10" borderId="20" xfId="0" applyFont="1" applyFill="1" applyBorder="1" applyAlignment="1">
      <alignment horizontal="center" vertical="center" wrapText="1"/>
    </xf>
    <xf numFmtId="0" fontId="5" fillId="10" borderId="20" xfId="0" applyFont="1" applyFill="1" applyBorder="1" applyAlignment="1">
      <alignment horizontal="center" vertical="center" wrapText="1"/>
    </xf>
    <xf numFmtId="0" fontId="2" fillId="10" borderId="21" xfId="0" applyFont="1" applyFill="1" applyBorder="1" applyAlignment="1">
      <alignment horizontal="center" vertical="center" wrapText="1"/>
    </xf>
    <xf numFmtId="164" fontId="2" fillId="10" borderId="18" xfId="0" applyNumberFormat="1" applyFont="1" applyFill="1" applyBorder="1" applyAlignment="1">
      <alignment horizontal="center" vertical="center" wrapText="1"/>
    </xf>
    <xf numFmtId="164" fontId="2" fillId="10" borderId="21" xfId="0" applyNumberFormat="1" applyFont="1" applyFill="1" applyBorder="1" applyAlignment="1">
      <alignment horizontal="center" vertical="center" wrapText="1"/>
    </xf>
    <xf numFmtId="0" fontId="6"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0" borderId="20" xfId="0" applyFont="1" applyFill="1" applyBorder="1" applyAlignment="1">
      <alignment horizontal="center" vertical="center" wrapText="1"/>
    </xf>
    <xf numFmtId="0" fontId="3" fillId="10" borderId="18" xfId="0" applyFont="1" applyFill="1" applyBorder="1" applyAlignment="1">
      <alignment horizontal="center" vertical="center"/>
    </xf>
    <xf numFmtId="0" fontId="3" fillId="10" borderId="21" xfId="0" applyFont="1" applyFill="1" applyBorder="1" applyAlignment="1">
      <alignment horizontal="center" vertical="center"/>
    </xf>
    <xf numFmtId="0" fontId="9" fillId="2" borderId="0" xfId="0" applyFont="1" applyFill="1" applyBorder="1" applyAlignment="1">
      <alignment horizontal="left" vertical="center" wrapText="1"/>
    </xf>
    <xf numFmtId="0" fontId="16" fillId="2" borderId="0" xfId="0" applyFont="1" applyFill="1" applyBorder="1" applyAlignment="1">
      <alignment horizontal="left" vertical="center" wrapText="1"/>
    </xf>
    <xf numFmtId="0" fontId="8" fillId="2" borderId="0" xfId="0" applyFont="1" applyFill="1" applyBorder="1" applyAlignment="1">
      <alignment horizontal="left" vertical="center" wrapText="1"/>
    </xf>
  </cellXfs>
  <cellStyles count="1">
    <cellStyle name="Normal" xfId="0" builtinId="0"/>
  </cellStyles>
  <dxfs count="13">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ill>
        <patternFill>
          <bgColor theme="6" tint="0.79998168889431442"/>
        </patternFill>
      </fill>
      <border diagonalUp="0" diagonalDown="0">
        <left style="thin">
          <color indexed="64"/>
        </left>
        <right style="thin">
          <color indexed="64"/>
        </right>
        <top/>
        <bottom/>
        <vertical style="thin">
          <color indexed="64"/>
        </vertical>
        <horizontal style="thin">
          <color indexed="64"/>
        </horizontal>
      </border>
    </dxf>
    <dxf>
      <fill>
        <patternFill>
          <bgColor theme="6" tint="0.79998168889431442"/>
        </patternFill>
      </fill>
    </dxf>
    <dxf>
      <font>
        <b/>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EF9E7"/>
      <rgbColor rgb="FFEAF7EF"/>
      <rgbColor rgb="FF660066"/>
      <rgbColor rgb="FFFF8080"/>
      <rgbColor rgb="FF2D6A9F"/>
      <rgbColor rgb="FFE0E0E0"/>
      <rgbColor rgb="FF000080"/>
      <rgbColor rgb="FFFF00FF"/>
      <rgbColor rgb="FFFFFF00"/>
      <rgbColor rgb="FF00FFFF"/>
      <rgbColor rgb="FF800080"/>
      <rgbColor rgb="FF800000"/>
      <rgbColor rgb="FF008080"/>
      <rgbColor rgb="FF0000FF"/>
      <rgbColor rgb="FF00CCFF"/>
      <rgbColor rgb="FFEAF2FF"/>
      <rgbColor rgb="FFF5F5F5"/>
      <rgbColor rgb="FFFDEDEC"/>
      <rgbColor rgb="FFF9F9F9"/>
      <rgbColor rgb="FFFF99CC"/>
      <rgbColor rgb="FFCC99FF"/>
      <rgbColor rgb="FFFDF2F2"/>
      <rgbColor rgb="FF3366FF"/>
      <rgbColor rgb="FF33CCCC"/>
      <rgbColor rgb="FF99CC00"/>
      <rgbColor rgb="FFFFCC00"/>
      <rgbColor rgb="FFF39C12"/>
      <rgbColor rgb="FFFF6600"/>
      <rgbColor rgb="FF666699"/>
      <rgbColor rgb="FF969696"/>
      <rgbColor rgb="FF003366"/>
      <rgbColor rgb="FF00B67A"/>
      <rgbColor rgb="FF003300"/>
      <rgbColor rgb="FF1A1A1A"/>
      <rgbColor rgb="FFC0392B"/>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595F80-0A47-4010-8AF9-AF61CA4D4717}" name="Table1" displayName="Table1" ref="B11:C16" headerRowDxfId="12" dataDxfId="11" totalsRowDxfId="10" headerRowBorderDxfId="8" tableBorderDxfId="9" totalsRowBorderDxfId="7">
  <autoFilter ref="B11:C16" xr:uid="{0B595F80-0A47-4010-8AF9-AF61CA4D4717}">
    <filterColumn colId="0" hiddenButton="1"/>
    <filterColumn colId="1" hiddenButton="1"/>
  </autoFilter>
  <tableColumns count="2">
    <tableColumn id="1" xr3:uid="{7F52AA5F-589F-4E39-AA2F-72E7C8F8251E}" name="Sheet" totalsRowLabel="Total" dataDxfId="6" totalsRowDxfId="5"/>
    <tableColumn id="2" xr3:uid="{0D7144FA-E855-4479-A8D8-5994013605F5}" name="Business Question" dataDxfId="4" totalsRowDxfId="3"/>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9"/>
  <sheetViews>
    <sheetView showGridLines="0" tabSelected="1" zoomScale="99" zoomScaleNormal="100" workbookViewId="0">
      <selection activeCell="B21" sqref="B21"/>
    </sheetView>
  </sheetViews>
  <sheetFormatPr defaultColWidth="8.6640625" defaultRowHeight="14.25" x14ac:dyDescent="0.45"/>
  <cols>
    <col min="1" max="1" width="4" style="5" customWidth="1"/>
    <col min="2" max="2" width="65.59765625" style="5" customWidth="1"/>
    <col min="3" max="3" width="64.33203125" style="5" customWidth="1"/>
    <col min="4" max="4" width="4" style="5" customWidth="1"/>
    <col min="5" max="16384" width="8.6640625" style="5"/>
  </cols>
  <sheetData>
    <row r="1" spans="2:4" ht="15" customHeight="1" x14ac:dyDescent="0.45">
      <c r="B1" s="6"/>
      <c r="C1" s="6"/>
      <c r="D1" s="6"/>
    </row>
    <row r="2" spans="2:4" ht="7.5" customHeight="1" x14ac:dyDescent="0.45"/>
    <row r="3" spans="2:4" ht="36" customHeight="1" x14ac:dyDescent="0.45">
      <c r="B3" s="79" t="s">
        <v>154</v>
      </c>
    </row>
    <row r="4" spans="2:4" ht="27.75" customHeight="1" x14ac:dyDescent="0.45">
      <c r="B4" s="80" t="s">
        <v>0</v>
      </c>
    </row>
    <row r="5" spans="2:4" ht="19.5" customHeight="1" x14ac:dyDescent="0.45">
      <c r="B5" s="81" t="s">
        <v>1</v>
      </c>
    </row>
    <row r="6" spans="2:4" ht="19.5" customHeight="1" x14ac:dyDescent="0.45"/>
    <row r="7" spans="2:4" ht="9.75" customHeight="1" x14ac:dyDescent="0.45"/>
    <row r="8" spans="2:4" ht="15" customHeight="1" thickBot="1" x14ac:dyDescent="0.5"/>
    <row r="9" spans="2:4" ht="19.5" customHeight="1" thickBot="1" x14ac:dyDescent="0.5">
      <c r="B9" s="34" t="s">
        <v>2</v>
      </c>
    </row>
    <row r="10" spans="2:4" ht="15" customHeight="1" x14ac:dyDescent="0.45"/>
    <row r="11" spans="2:4" x14ac:dyDescent="0.45">
      <c r="B11" s="7" t="s">
        <v>3</v>
      </c>
      <c r="C11" s="8" t="s">
        <v>4</v>
      </c>
    </row>
    <row r="12" spans="2:4" x14ac:dyDescent="0.45">
      <c r="B12" s="9" t="s">
        <v>5</v>
      </c>
      <c r="C12" s="10" t="s">
        <v>6</v>
      </c>
    </row>
    <row r="13" spans="2:4" x14ac:dyDescent="0.45">
      <c r="B13" s="9" t="s">
        <v>7</v>
      </c>
      <c r="C13" s="10" t="s">
        <v>8</v>
      </c>
    </row>
    <row r="14" spans="2:4" x14ac:dyDescent="0.45">
      <c r="B14" s="9" t="s">
        <v>9</v>
      </c>
      <c r="C14" s="10" t="s">
        <v>10</v>
      </c>
    </row>
    <row r="15" spans="2:4" x14ac:dyDescent="0.45">
      <c r="B15" s="9" t="s">
        <v>11</v>
      </c>
      <c r="C15" s="10" t="s">
        <v>12</v>
      </c>
    </row>
    <row r="16" spans="2:4" x14ac:dyDescent="0.45">
      <c r="B16" s="11" t="s">
        <v>13</v>
      </c>
      <c r="C16" s="12" t="s">
        <v>14</v>
      </c>
    </row>
    <row r="17" ht="15" customHeight="1" x14ac:dyDescent="0.45"/>
    <row r="18" ht="15" customHeight="1" x14ac:dyDescent="0.45"/>
    <row r="19" ht="15" customHeight="1" x14ac:dyDescent="0.45"/>
    <row r="20" ht="15" customHeight="1" x14ac:dyDescent="0.45"/>
    <row r="21" ht="15" customHeight="1" x14ac:dyDescent="0.45"/>
    <row r="22" ht="15" customHeight="1" x14ac:dyDescent="0.45"/>
    <row r="23" ht="15" customHeight="1" x14ac:dyDescent="0.45"/>
    <row r="24" ht="15" customHeight="1" x14ac:dyDescent="0.45"/>
    <row r="25" ht="15" customHeight="1" x14ac:dyDescent="0.45"/>
    <row r="26" ht="15" customHeight="1" x14ac:dyDescent="0.45"/>
    <row r="27" ht="15" customHeight="1" x14ac:dyDescent="0.45"/>
    <row r="28" ht="15" customHeight="1" x14ac:dyDescent="0.45"/>
    <row r="29" ht="15" customHeight="1" x14ac:dyDescent="0.45"/>
    <row r="30" ht="15" customHeight="1" x14ac:dyDescent="0.45"/>
    <row r="31" ht="15" customHeight="1" x14ac:dyDescent="0.45"/>
    <row r="32" ht="15" customHeight="1" x14ac:dyDescent="0.45"/>
    <row r="33" ht="15" customHeight="1" x14ac:dyDescent="0.45"/>
    <row r="34" ht="15" customHeight="1" x14ac:dyDescent="0.45"/>
    <row r="35" ht="15" customHeight="1" x14ac:dyDescent="0.45"/>
    <row r="36" ht="15" customHeight="1" x14ac:dyDescent="0.45"/>
    <row r="37" ht="15" customHeight="1" x14ac:dyDescent="0.45"/>
    <row r="38" ht="15" customHeight="1" x14ac:dyDescent="0.45"/>
    <row r="39" ht="15" customHeight="1" x14ac:dyDescent="0.45"/>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8"/>
  <sheetViews>
    <sheetView showGridLines="0" zoomScale="83" zoomScaleNormal="83" workbookViewId="0">
      <selection activeCell="I11" sqref="I11"/>
    </sheetView>
  </sheetViews>
  <sheetFormatPr defaultColWidth="8.6640625" defaultRowHeight="14.25" x14ac:dyDescent="0.45"/>
  <cols>
    <col min="1" max="1" width="3" style="1" customWidth="1"/>
    <col min="2" max="2" width="57" style="1" customWidth="1"/>
    <col min="3" max="3" width="16" style="1" customWidth="1"/>
    <col min="4" max="7" width="18" style="1" customWidth="1"/>
    <col min="8" max="8" width="3" style="1" customWidth="1"/>
    <col min="9" max="16384" width="8.6640625" style="1"/>
  </cols>
  <sheetData>
    <row r="1" spans="2:5" ht="23.25" customHeight="1" x14ac:dyDescent="0.45"/>
    <row r="2" spans="2:5" ht="21.75" customHeight="1" thickBot="1" x14ac:dyDescent="0.5"/>
    <row r="3" spans="2:5" ht="31.5" customHeight="1" x14ac:dyDescent="0.45">
      <c r="B3" s="18" t="s">
        <v>149</v>
      </c>
    </row>
    <row r="4" spans="2:5" ht="21.75" customHeight="1" x14ac:dyDescent="0.45">
      <c r="B4" s="19" t="s">
        <v>6</v>
      </c>
    </row>
    <row r="5" spans="2:5" ht="18" customHeight="1" thickBot="1" x14ac:dyDescent="0.5">
      <c r="B5" s="20" t="s">
        <v>15</v>
      </c>
    </row>
    <row r="6" spans="2:5" ht="7.5" customHeight="1" x14ac:dyDescent="0.45"/>
    <row r="8" spans="2:5" ht="18" customHeight="1" thickBot="1" x14ac:dyDescent="0.5">
      <c r="B8" s="13" t="s">
        <v>16</v>
      </c>
    </row>
    <row r="9" spans="2:5" ht="21.75" customHeight="1" x14ac:dyDescent="0.45">
      <c r="B9" s="37" t="s">
        <v>17</v>
      </c>
      <c r="C9" s="38" t="s">
        <v>18</v>
      </c>
      <c r="D9" s="38" t="s">
        <v>19</v>
      </c>
      <c r="E9" s="39" t="s">
        <v>20</v>
      </c>
    </row>
    <row r="10" spans="2:5" ht="19.5" customHeight="1" x14ac:dyDescent="0.45">
      <c r="B10" s="40" t="s">
        <v>21</v>
      </c>
      <c r="C10" s="35">
        <v>97</v>
      </c>
      <c r="D10" s="36">
        <v>71063.460000000006</v>
      </c>
      <c r="E10" s="41">
        <v>676.31</v>
      </c>
    </row>
    <row r="11" spans="2:5" ht="19.5" customHeight="1" x14ac:dyDescent="0.45">
      <c r="B11" s="40" t="s">
        <v>22</v>
      </c>
      <c r="C11" s="35">
        <v>152</v>
      </c>
      <c r="D11" s="36">
        <v>63223.46</v>
      </c>
      <c r="E11" s="41">
        <v>354.96</v>
      </c>
    </row>
    <row r="12" spans="2:5" ht="19.5" customHeight="1" x14ac:dyDescent="0.45">
      <c r="B12" s="40" t="s">
        <v>23</v>
      </c>
      <c r="C12" s="35">
        <v>63</v>
      </c>
      <c r="D12" s="36">
        <v>22724.880000000001</v>
      </c>
      <c r="E12" s="41">
        <v>301.86</v>
      </c>
    </row>
    <row r="13" spans="2:5" ht="19.5" customHeight="1" x14ac:dyDescent="0.45">
      <c r="B13" s="40" t="s">
        <v>24</v>
      </c>
      <c r="C13" s="35">
        <v>64</v>
      </c>
      <c r="D13" s="36">
        <v>19064.599999999999</v>
      </c>
      <c r="E13" s="41">
        <v>268.33</v>
      </c>
    </row>
    <row r="14" spans="2:5" ht="19.5" customHeight="1" x14ac:dyDescent="0.45">
      <c r="B14" s="40" t="s">
        <v>25</v>
      </c>
      <c r="C14" s="35">
        <v>59</v>
      </c>
      <c r="D14" s="36">
        <v>13846.22</v>
      </c>
      <c r="E14" s="41">
        <v>193.19</v>
      </c>
    </row>
    <row r="15" spans="2:5" ht="19.5" customHeight="1" x14ac:dyDescent="0.45">
      <c r="B15" s="40" t="s">
        <v>26</v>
      </c>
      <c r="C15" s="35">
        <v>58</v>
      </c>
      <c r="D15" s="36">
        <v>10039.33</v>
      </c>
      <c r="E15" s="41">
        <v>146.57</v>
      </c>
    </row>
    <row r="16" spans="2:5" ht="21.75" customHeight="1" thickBot="1" x14ac:dyDescent="0.5">
      <c r="B16" s="42" t="s">
        <v>27</v>
      </c>
      <c r="C16" s="43">
        <f>SUM(C10:C15)</f>
        <v>493</v>
      </c>
      <c r="D16" s="44">
        <f>SUM(D10:D15)</f>
        <v>199961.95</v>
      </c>
      <c r="E16" s="45">
        <f>AVERAGE(E10:E15)</f>
        <v>323.53666666666669</v>
      </c>
    </row>
    <row r="18" spans="2:7" ht="18" customHeight="1" thickBot="1" x14ac:dyDescent="0.5">
      <c r="B18" s="14" t="s">
        <v>148</v>
      </c>
    </row>
    <row r="19" spans="2:7" ht="21.75" customHeight="1" x14ac:dyDescent="0.45">
      <c r="B19" s="46" t="s">
        <v>29</v>
      </c>
      <c r="C19" s="47" t="s">
        <v>30</v>
      </c>
      <c r="D19" s="15"/>
    </row>
    <row r="20" spans="2:7" ht="19.5" customHeight="1" x14ac:dyDescent="0.45">
      <c r="B20" s="40" t="s">
        <v>31</v>
      </c>
      <c r="C20" s="48" t="str">
        <f>INDEX(B10:B15,MATCH(MAX(D10:D15),D10:D15,0))</f>
        <v>Laptops</v>
      </c>
    </row>
    <row r="21" spans="2:7" ht="19.5" customHeight="1" x14ac:dyDescent="0.45">
      <c r="B21" s="40" t="s">
        <v>32</v>
      </c>
      <c r="C21" s="48" t="str">
        <f>INDEX(B10:B15,MATCH(MAX(E10:E15),E10:E15,0))</f>
        <v>Laptops</v>
      </c>
    </row>
    <row r="22" spans="2:7" ht="19.5" customHeight="1" x14ac:dyDescent="0.45">
      <c r="B22" s="40" t="s">
        <v>33</v>
      </c>
      <c r="C22" s="48">
        <f>SUM(D10:D15)</f>
        <v>199961.95</v>
      </c>
    </row>
    <row r="23" spans="2:7" ht="19.5" customHeight="1" x14ac:dyDescent="0.45">
      <c r="B23" s="40" t="s">
        <v>34</v>
      </c>
      <c r="C23" s="49">
        <f>D10/SUM(D10:D15)</f>
        <v>0.35538491197950411</v>
      </c>
    </row>
    <row r="24" spans="2:7" ht="19.5" customHeight="1" x14ac:dyDescent="0.45">
      <c r="B24" s="40" t="s">
        <v>35</v>
      </c>
      <c r="C24" s="49">
        <f>D11/SUM(D10:D15)</f>
        <v>0.31617745276038767</v>
      </c>
    </row>
    <row r="25" spans="2:7" ht="19.5" customHeight="1" thickBot="1" x14ac:dyDescent="0.5">
      <c r="B25" s="50" t="s">
        <v>36</v>
      </c>
      <c r="C25" s="51" t="str">
        <f>IF(D10&gt;50000,"High","Standard")</f>
        <v>High</v>
      </c>
    </row>
    <row r="26" spans="2:7" ht="14.65" thickBot="1" x14ac:dyDescent="0.5"/>
    <row r="27" spans="2:7" ht="18" customHeight="1" thickBot="1" x14ac:dyDescent="0.5">
      <c r="B27" s="21" t="s">
        <v>37</v>
      </c>
    </row>
    <row r="28" spans="2:7" ht="48" customHeight="1" thickBot="1" x14ac:dyDescent="0.5">
      <c r="B28" s="22" t="s">
        <v>38</v>
      </c>
      <c r="C28" s="23"/>
      <c r="D28" s="23"/>
      <c r="E28" s="23"/>
      <c r="F28" s="23"/>
      <c r="G28" s="24"/>
    </row>
  </sheetData>
  <mergeCells count="1">
    <mergeCell ref="B28:G28"/>
  </mergeCells>
  <conditionalFormatting sqref="D10:D15">
    <cfRule type="dataBar" priority="3">
      <dataBar>
        <cfvo type="min"/>
        <cfvo type="max"/>
        <color rgb="FF63C384"/>
      </dataBar>
      <extLst>
        <ext xmlns:x14="http://schemas.microsoft.com/office/spreadsheetml/2009/9/main" uri="{B025F937-C7B1-47D3-B67F-A62EFF666E3E}">
          <x14:id>{B9981308-49CA-4F89-98D6-A87549397875}</x14:id>
        </ext>
      </extLst>
    </cfRule>
  </conditionalFormatting>
  <conditionalFormatting sqref="E10:E15">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B9981308-49CA-4F89-98D6-A87549397875}">
            <x14:dataBar minLength="0" maxLength="100" border="1" negativeBarBorderColorSameAsPositive="0">
              <x14:cfvo type="autoMin"/>
              <x14:cfvo type="autoMax"/>
              <x14:borderColor rgb="FF63C384"/>
              <x14:negativeFillColor rgb="FFFF0000"/>
              <x14:negativeBorderColor rgb="FFFF0000"/>
              <x14:axisColor rgb="FF000000"/>
            </x14:dataBar>
          </x14:cfRule>
          <xm:sqref>D10:D15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32"/>
  <sheetViews>
    <sheetView showGridLines="0" zoomScale="75" zoomScaleNormal="100" workbookViewId="0">
      <selection activeCell="E24" sqref="E24"/>
    </sheetView>
  </sheetViews>
  <sheetFormatPr defaultColWidth="8.6640625" defaultRowHeight="14.25" x14ac:dyDescent="0.45"/>
  <cols>
    <col min="1" max="1" width="3" customWidth="1"/>
    <col min="2" max="2" width="54.59765625" customWidth="1"/>
    <col min="3" max="3" width="16" customWidth="1"/>
    <col min="4" max="6" width="18" customWidth="1"/>
    <col min="7" max="7" width="16" customWidth="1"/>
    <col min="8" max="8" width="3" customWidth="1"/>
  </cols>
  <sheetData>
    <row r="2" spans="2:5" ht="14.65" thickBot="1" x14ac:dyDescent="0.5"/>
    <row r="3" spans="2:5" s="2" customFormat="1" ht="31.5" customHeight="1" x14ac:dyDescent="0.45">
      <c r="B3" s="18" t="s">
        <v>150</v>
      </c>
    </row>
    <row r="4" spans="2:5" s="4" customFormat="1" ht="21.75" customHeight="1" x14ac:dyDescent="0.45">
      <c r="B4" s="25" t="s">
        <v>39</v>
      </c>
    </row>
    <row r="5" spans="2:5" s="3" customFormat="1" ht="18" customHeight="1" thickBot="1" x14ac:dyDescent="0.5">
      <c r="B5" s="20" t="s">
        <v>40</v>
      </c>
    </row>
    <row r="6" spans="2:5" ht="7.5" customHeight="1" x14ac:dyDescent="0.45"/>
    <row r="8" spans="2:5" ht="18" customHeight="1" thickBot="1" x14ac:dyDescent="0.5">
      <c r="B8" s="16" t="s">
        <v>16</v>
      </c>
    </row>
    <row r="9" spans="2:5" ht="21.75" customHeight="1" x14ac:dyDescent="0.45">
      <c r="B9" s="54" t="s">
        <v>41</v>
      </c>
      <c r="C9" s="55" t="s">
        <v>18</v>
      </c>
      <c r="D9" s="55" t="s">
        <v>19</v>
      </c>
      <c r="E9" s="56" t="s">
        <v>20</v>
      </c>
    </row>
    <row r="10" spans="2:5" ht="19.5" customHeight="1" x14ac:dyDescent="0.45">
      <c r="B10" s="57" t="s">
        <v>42</v>
      </c>
      <c r="C10" s="52">
        <v>58</v>
      </c>
      <c r="D10" s="53">
        <v>23651.439999999999</v>
      </c>
      <c r="E10" s="58">
        <v>351.92</v>
      </c>
    </row>
    <row r="11" spans="2:5" ht="19.5" customHeight="1" x14ac:dyDescent="0.45">
      <c r="B11" s="57" t="s">
        <v>43</v>
      </c>
      <c r="C11" s="52">
        <v>55</v>
      </c>
      <c r="D11" s="53">
        <v>21991.65</v>
      </c>
      <c r="E11" s="58">
        <v>368.5</v>
      </c>
    </row>
    <row r="12" spans="2:5" ht="19.5" customHeight="1" x14ac:dyDescent="0.45">
      <c r="B12" s="57" t="s">
        <v>44</v>
      </c>
      <c r="C12" s="52">
        <v>53</v>
      </c>
      <c r="D12" s="53">
        <v>20244.48</v>
      </c>
      <c r="E12" s="58">
        <v>338.63</v>
      </c>
    </row>
    <row r="13" spans="2:5" ht="19.5" customHeight="1" x14ac:dyDescent="0.45">
      <c r="B13" s="57" t="s">
        <v>45</v>
      </c>
      <c r="C13" s="52">
        <v>49</v>
      </c>
      <c r="D13" s="53">
        <v>20642.490000000002</v>
      </c>
      <c r="E13" s="58">
        <v>365.28</v>
      </c>
    </row>
    <row r="14" spans="2:5" ht="19.5" customHeight="1" x14ac:dyDescent="0.45">
      <c r="B14" s="57" t="s">
        <v>46</v>
      </c>
      <c r="C14" s="52">
        <v>49</v>
      </c>
      <c r="D14" s="53">
        <v>20624.18</v>
      </c>
      <c r="E14" s="58">
        <v>369.01</v>
      </c>
    </row>
    <row r="15" spans="2:5" ht="19.5" customHeight="1" x14ac:dyDescent="0.45">
      <c r="B15" s="57" t="s">
        <v>47</v>
      </c>
      <c r="C15" s="52">
        <v>48</v>
      </c>
      <c r="D15" s="53">
        <v>21577.25</v>
      </c>
      <c r="E15" s="58">
        <v>379.78</v>
      </c>
    </row>
    <row r="16" spans="2:5" ht="19.5" customHeight="1" x14ac:dyDescent="0.45">
      <c r="B16" s="57" t="s">
        <v>48</v>
      </c>
      <c r="C16" s="52">
        <v>46</v>
      </c>
      <c r="D16" s="53">
        <v>18874.13</v>
      </c>
      <c r="E16" s="58">
        <v>376.98</v>
      </c>
    </row>
    <row r="17" spans="2:7" ht="19.5" customHeight="1" x14ac:dyDescent="0.45">
      <c r="B17" s="57" t="s">
        <v>49</v>
      </c>
      <c r="C17" s="52">
        <v>46</v>
      </c>
      <c r="D17" s="53">
        <v>17842.91</v>
      </c>
      <c r="E17" s="58">
        <v>367.05</v>
      </c>
    </row>
    <row r="18" spans="2:7" ht="19.5" customHeight="1" x14ac:dyDescent="0.45">
      <c r="B18" s="57" t="s">
        <v>50</v>
      </c>
      <c r="C18" s="52">
        <v>45</v>
      </c>
      <c r="D18" s="53">
        <v>18209.66</v>
      </c>
      <c r="E18" s="58">
        <v>324.79000000000002</v>
      </c>
    </row>
    <row r="19" spans="2:7" ht="19.5" customHeight="1" x14ac:dyDescent="0.45">
      <c r="B19" s="57" t="s">
        <v>51</v>
      </c>
      <c r="C19" s="52">
        <v>44</v>
      </c>
      <c r="D19" s="53">
        <v>16303.76</v>
      </c>
      <c r="E19" s="58">
        <v>370.54</v>
      </c>
    </row>
    <row r="20" spans="2:7" ht="21.75" customHeight="1" thickBot="1" x14ac:dyDescent="0.5">
      <c r="B20" s="59" t="s">
        <v>27</v>
      </c>
      <c r="C20" s="60">
        <f>SUM(C10:C19)</f>
        <v>493</v>
      </c>
      <c r="D20" s="61">
        <f>SUM(D10:D19)</f>
        <v>199961.95</v>
      </c>
      <c r="E20" s="62">
        <f>AVERAGE(E10:E19)</f>
        <v>361.24799999999999</v>
      </c>
    </row>
    <row r="22" spans="2:7" ht="18" customHeight="1" thickBot="1" x14ac:dyDescent="0.5">
      <c r="B22" s="17" t="s">
        <v>148</v>
      </c>
    </row>
    <row r="23" spans="2:7" ht="21.75" customHeight="1" x14ac:dyDescent="0.45">
      <c r="B23" s="54" t="s">
        <v>29</v>
      </c>
      <c r="C23" s="56" t="s">
        <v>30</v>
      </c>
    </row>
    <row r="24" spans="2:7" ht="19.5" customHeight="1" x14ac:dyDescent="0.45">
      <c r="B24" s="57" t="s">
        <v>52</v>
      </c>
      <c r="C24" s="63" t="str">
        <f>INDEX(B10:B19,MATCH(MAX(C10:C19),C10:C19,0))</f>
        <v>Belgium</v>
      </c>
    </row>
    <row r="25" spans="2:7" ht="19.5" customHeight="1" x14ac:dyDescent="0.45">
      <c r="B25" s="57" t="s">
        <v>53</v>
      </c>
      <c r="C25" s="63" t="str">
        <f>INDEX(B10:B19,MATCH(MAX(D10:D19),D10:D19,0))</f>
        <v>Belgium</v>
      </c>
    </row>
    <row r="26" spans="2:7" ht="19.5" customHeight="1" x14ac:dyDescent="0.45">
      <c r="B26" s="57" t="s">
        <v>54</v>
      </c>
      <c r="C26" s="64">
        <f>C10/SUM(C10:C19)</f>
        <v>0.11764705882352941</v>
      </c>
    </row>
    <row r="27" spans="2:7" ht="19.5" customHeight="1" x14ac:dyDescent="0.45">
      <c r="B27" s="57" t="s">
        <v>55</v>
      </c>
      <c r="C27" s="64">
        <f>D10/SUM(D10:D19)</f>
        <v>0.11827970271344122</v>
      </c>
    </row>
    <row r="28" spans="2:7" ht="19.5" customHeight="1" x14ac:dyDescent="0.45">
      <c r="B28" s="57" t="s">
        <v>56</v>
      </c>
      <c r="C28" s="63">
        <f>RANK(D10,D10:D19,0)</f>
        <v>1</v>
      </c>
    </row>
    <row r="29" spans="2:7" ht="19.5" customHeight="1" thickBot="1" x14ac:dyDescent="0.5">
      <c r="B29" s="65" t="s">
        <v>57</v>
      </c>
      <c r="C29" s="66" t="str">
        <f>IF(D10&gt;20000,"Priority Market","Standard")</f>
        <v>Priority Market</v>
      </c>
    </row>
    <row r="30" spans="2:7" ht="14.65" thickBot="1" x14ac:dyDescent="0.5"/>
    <row r="31" spans="2:7" ht="18" customHeight="1" thickBot="1" x14ac:dyDescent="0.5">
      <c r="B31" s="26" t="s">
        <v>37</v>
      </c>
    </row>
    <row r="32" spans="2:7" ht="48" customHeight="1" thickBot="1" x14ac:dyDescent="0.5">
      <c r="B32" s="27" t="s">
        <v>58</v>
      </c>
      <c r="C32" s="28"/>
      <c r="D32" s="28"/>
      <c r="E32" s="28"/>
      <c r="F32" s="28"/>
      <c r="G32" s="29"/>
    </row>
  </sheetData>
  <mergeCells count="1">
    <mergeCell ref="B32:G32"/>
  </mergeCells>
  <conditionalFormatting sqref="D10:D19">
    <cfRule type="dataBar" priority="3">
      <dataBar>
        <cfvo type="min"/>
        <cfvo type="max"/>
        <color rgb="FF63C384"/>
      </dataBar>
      <extLst>
        <ext xmlns:x14="http://schemas.microsoft.com/office/spreadsheetml/2009/9/main" uri="{B025F937-C7B1-47D3-B67F-A62EFF666E3E}">
          <x14:id>{F61DC97B-8536-4F92-AC4F-9BE8CBC665BF}</x14:id>
        </ext>
      </extLst>
    </cfRule>
  </conditionalFormatting>
  <conditionalFormatting sqref="E10:E19">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F61DC97B-8536-4F92-AC4F-9BE8CBC665BF}">
            <x14:dataBar minLength="0" maxLength="100" border="1" negativeBarBorderColorSameAsPositive="0">
              <x14:cfvo type="autoMin"/>
              <x14:cfvo type="autoMax"/>
              <x14:borderColor rgb="FF63C384"/>
              <x14:negativeFillColor rgb="FFFF0000"/>
              <x14:negativeBorderColor rgb="FFFF0000"/>
              <x14:axisColor rgb="FF000000"/>
            </x14:dataBar>
          </x14:cfRule>
          <xm:sqref>D10:D19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31"/>
  <sheetViews>
    <sheetView showGridLines="0" topLeftCell="A12" zoomScale="75" zoomScaleNormal="100" workbookViewId="0">
      <selection activeCell="E10" sqref="E10"/>
    </sheetView>
  </sheetViews>
  <sheetFormatPr defaultColWidth="8.6640625" defaultRowHeight="14.25" x14ac:dyDescent="0.45"/>
  <cols>
    <col min="1" max="1" width="3" customWidth="1"/>
    <col min="2" max="2" width="53.06640625" customWidth="1"/>
    <col min="3" max="3" width="22" customWidth="1"/>
    <col min="4" max="4" width="16" customWidth="1"/>
    <col min="5" max="5" width="14" customWidth="1"/>
    <col min="6" max="6" width="18" customWidth="1"/>
    <col min="7" max="7" width="16" customWidth="1"/>
    <col min="8" max="8" width="3" customWidth="1"/>
  </cols>
  <sheetData>
    <row r="2" spans="2:7" ht="7.5" customHeight="1" thickBot="1" x14ac:dyDescent="0.5"/>
    <row r="3" spans="2:7" ht="31.5" customHeight="1" x14ac:dyDescent="0.45">
      <c r="B3" s="30" t="s">
        <v>151</v>
      </c>
    </row>
    <row r="4" spans="2:7" ht="21.75" customHeight="1" x14ac:dyDescent="0.45">
      <c r="B4" s="19" t="s">
        <v>10</v>
      </c>
    </row>
    <row r="5" spans="2:7" ht="18" customHeight="1" thickBot="1" x14ac:dyDescent="0.5">
      <c r="B5" s="20" t="s">
        <v>59</v>
      </c>
    </row>
    <row r="6" spans="2:7" ht="7.5" customHeight="1" x14ac:dyDescent="0.45"/>
    <row r="8" spans="2:7" ht="18" customHeight="1" thickBot="1" x14ac:dyDescent="0.5">
      <c r="B8" s="16" t="s">
        <v>60</v>
      </c>
    </row>
    <row r="9" spans="2:7" ht="21.75" customHeight="1" x14ac:dyDescent="0.45">
      <c r="B9" s="54" t="s">
        <v>61</v>
      </c>
      <c r="C9" s="55" t="s">
        <v>62</v>
      </c>
      <c r="D9" s="55" t="s">
        <v>63</v>
      </c>
      <c r="E9" s="55" t="s">
        <v>64</v>
      </c>
      <c r="F9" s="55" t="s">
        <v>65</v>
      </c>
      <c r="G9" s="56" t="s">
        <v>66</v>
      </c>
    </row>
    <row r="10" spans="2:7" ht="19.5" customHeight="1" x14ac:dyDescent="0.45">
      <c r="B10" s="57" t="s">
        <v>67</v>
      </c>
      <c r="C10" s="52" t="s">
        <v>68</v>
      </c>
      <c r="D10" s="52" t="s">
        <v>44</v>
      </c>
      <c r="E10" s="67" t="s">
        <v>69</v>
      </c>
      <c r="F10" s="52">
        <v>3.26</v>
      </c>
      <c r="G10" s="68">
        <v>4</v>
      </c>
    </row>
    <row r="11" spans="2:7" ht="19.5" customHeight="1" x14ac:dyDescent="0.45">
      <c r="B11" s="57" t="s">
        <v>70</v>
      </c>
      <c r="C11" s="52" t="s">
        <v>71</v>
      </c>
      <c r="D11" s="52" t="s">
        <v>49</v>
      </c>
      <c r="E11" s="52" t="s">
        <v>72</v>
      </c>
      <c r="F11" s="52">
        <v>4.34</v>
      </c>
      <c r="G11" s="68">
        <v>4</v>
      </c>
    </row>
    <row r="12" spans="2:7" ht="19.5" customHeight="1" x14ac:dyDescent="0.45">
      <c r="B12" s="57" t="s">
        <v>73</v>
      </c>
      <c r="C12" s="52" t="s">
        <v>74</v>
      </c>
      <c r="D12" s="52" t="s">
        <v>44</v>
      </c>
      <c r="E12" s="67" t="s">
        <v>69</v>
      </c>
      <c r="F12" s="52">
        <v>3.47</v>
      </c>
      <c r="G12" s="68">
        <v>3</v>
      </c>
    </row>
    <row r="13" spans="2:7" ht="19.5" customHeight="1" x14ac:dyDescent="0.45">
      <c r="B13" s="57" t="s">
        <v>75</v>
      </c>
      <c r="C13" s="52" t="s">
        <v>76</v>
      </c>
      <c r="D13" s="52" t="s">
        <v>48</v>
      </c>
      <c r="E13" s="52" t="s">
        <v>72</v>
      </c>
      <c r="F13" s="52">
        <v>4.26</v>
      </c>
      <c r="G13" s="68">
        <v>3</v>
      </c>
    </row>
    <row r="14" spans="2:7" ht="19.5" customHeight="1" x14ac:dyDescent="0.45">
      <c r="B14" s="57" t="s">
        <v>77</v>
      </c>
      <c r="C14" s="52" t="s">
        <v>78</v>
      </c>
      <c r="D14" s="52" t="s">
        <v>44</v>
      </c>
      <c r="E14" s="67" t="s">
        <v>69</v>
      </c>
      <c r="F14" s="52">
        <v>3.92</v>
      </c>
      <c r="G14" s="68">
        <v>3</v>
      </c>
    </row>
    <row r="15" spans="2:7" ht="19.5" customHeight="1" x14ac:dyDescent="0.45">
      <c r="B15" s="57" t="s">
        <v>79</v>
      </c>
      <c r="C15" s="52" t="s">
        <v>80</v>
      </c>
      <c r="D15" s="52" t="s">
        <v>42</v>
      </c>
      <c r="E15" s="67" t="s">
        <v>69</v>
      </c>
      <c r="F15" s="52">
        <v>3.87</v>
      </c>
      <c r="G15" s="68">
        <v>3</v>
      </c>
    </row>
    <row r="16" spans="2:7" ht="19.5" customHeight="1" x14ac:dyDescent="0.45">
      <c r="B16" s="57" t="s">
        <v>81</v>
      </c>
      <c r="C16" s="52" t="s">
        <v>82</v>
      </c>
      <c r="D16" s="52" t="s">
        <v>49</v>
      </c>
      <c r="E16" s="52" t="s">
        <v>72</v>
      </c>
      <c r="F16" s="52">
        <v>4.24</v>
      </c>
      <c r="G16" s="68">
        <v>3</v>
      </c>
    </row>
    <row r="17" spans="2:7" ht="19.5" customHeight="1" x14ac:dyDescent="0.45">
      <c r="B17" s="57" t="s">
        <v>83</v>
      </c>
      <c r="C17" s="52" t="s">
        <v>84</v>
      </c>
      <c r="D17" s="52" t="s">
        <v>46</v>
      </c>
      <c r="E17" s="52" t="s">
        <v>72</v>
      </c>
      <c r="F17" s="52">
        <v>4.12</v>
      </c>
      <c r="G17" s="68">
        <v>3</v>
      </c>
    </row>
    <row r="18" spans="2:7" ht="19.5" customHeight="1" x14ac:dyDescent="0.45">
      <c r="B18" s="57" t="s">
        <v>85</v>
      </c>
      <c r="C18" s="52" t="s">
        <v>86</v>
      </c>
      <c r="D18" s="52" t="s">
        <v>50</v>
      </c>
      <c r="E18" s="67" t="s">
        <v>69</v>
      </c>
      <c r="F18" s="52">
        <v>3.65</v>
      </c>
      <c r="G18" s="68">
        <v>3</v>
      </c>
    </row>
    <row r="19" spans="2:7" ht="19.5" customHeight="1" thickBot="1" x14ac:dyDescent="0.5">
      <c r="B19" s="65" t="s">
        <v>87</v>
      </c>
      <c r="C19" s="69" t="s">
        <v>88</v>
      </c>
      <c r="D19" s="69" t="s">
        <v>42</v>
      </c>
      <c r="E19" s="70" t="s">
        <v>69</v>
      </c>
      <c r="F19" s="69">
        <v>3.55</v>
      </c>
      <c r="G19" s="71">
        <v>3</v>
      </c>
    </row>
    <row r="21" spans="2:7" ht="18" customHeight="1" thickBot="1" x14ac:dyDescent="0.5">
      <c r="B21" s="16" t="s">
        <v>28</v>
      </c>
    </row>
    <row r="22" spans="2:7" ht="21.75" customHeight="1" x14ac:dyDescent="0.45">
      <c r="B22" s="54" t="s">
        <v>29</v>
      </c>
      <c r="C22" s="56" t="s">
        <v>30</v>
      </c>
    </row>
    <row r="23" spans="2:7" ht="19.5" customHeight="1" x14ac:dyDescent="0.45">
      <c r="B23" s="57" t="s">
        <v>89</v>
      </c>
      <c r="C23" s="63">
        <f>SUM(G10:G19)</f>
        <v>32</v>
      </c>
    </row>
    <row r="24" spans="2:7" ht="19.5" customHeight="1" x14ac:dyDescent="0.45">
      <c r="B24" s="57" t="s">
        <v>90</v>
      </c>
      <c r="C24" s="63">
        <f>AVERAGE(F10:F19)</f>
        <v>3.8679999999999999</v>
      </c>
    </row>
    <row r="25" spans="2:7" ht="19.5" customHeight="1" x14ac:dyDescent="0.45">
      <c r="B25" s="57" t="s">
        <v>91</v>
      </c>
      <c r="C25" s="63">
        <f>COUNTIF(E10:E19,"Bronze")</f>
        <v>6</v>
      </c>
    </row>
    <row r="26" spans="2:7" ht="19.5" customHeight="1" x14ac:dyDescent="0.45">
      <c r="B26" s="57" t="s">
        <v>92</v>
      </c>
      <c r="C26" s="63">
        <f>COUNTIF(E10:E19,"Silver")</f>
        <v>4</v>
      </c>
    </row>
    <row r="27" spans="2:7" ht="19.5" customHeight="1" x14ac:dyDescent="0.45">
      <c r="B27" s="57" t="s">
        <v>93</v>
      </c>
      <c r="C27" s="63" t="str">
        <f>IF(F10&lt;4,"At Risk","Acceptable")</f>
        <v>At Risk</v>
      </c>
    </row>
    <row r="28" spans="2:7" ht="19.5" customHeight="1" thickBot="1" x14ac:dyDescent="0.5">
      <c r="B28" s="65" t="s">
        <v>94</v>
      </c>
      <c r="C28" s="66" t="str">
        <f>VLOOKUP("S010",B10:G19,4,FALSE())</f>
        <v>Bronze</v>
      </c>
    </row>
    <row r="29" spans="2:7" ht="14.65" thickBot="1" x14ac:dyDescent="0.5"/>
    <row r="30" spans="2:7" ht="18" customHeight="1" thickBot="1" x14ac:dyDescent="0.5">
      <c r="B30" s="26" t="s">
        <v>37</v>
      </c>
    </row>
    <row r="31" spans="2:7" ht="48" customHeight="1" thickBot="1" x14ac:dyDescent="0.5">
      <c r="B31" s="27" t="s">
        <v>95</v>
      </c>
      <c r="C31" s="28"/>
      <c r="D31" s="28"/>
      <c r="E31" s="28"/>
      <c r="F31" s="28"/>
      <c r="G31" s="29"/>
    </row>
  </sheetData>
  <mergeCells count="1">
    <mergeCell ref="B31:G31"/>
  </mergeCells>
  <conditionalFormatting sqref="E10:E19">
    <cfRule type="containsText" dxfId="2" priority="1" operator="containsText" text="Bronze">
      <formula>NOT(ISERROR(SEARCH("Bronze",E10)))</formula>
    </cfRule>
    <cfRule type="containsText" dxfId="1" priority="2" operator="containsText" text="Silver">
      <formula>NOT(ISERROR(SEARCH("Silver",E10)))</formula>
    </cfRule>
    <cfRule type="containsText" dxfId="0" priority="3" operator="containsText" text="Bronze">
      <formula>NOT(ISERROR(SEARCH("Bronze",E10)))</formula>
    </cfRule>
  </conditionalFormatting>
  <conditionalFormatting sqref="F10:F19">
    <cfRule type="colorScale" priority="5">
      <colorScale>
        <cfvo type="min"/>
        <cfvo type="percentile" val="50"/>
        <cfvo type="max"/>
        <color rgb="FFFF0000"/>
        <color rgb="FFFFEB84"/>
        <color rgb="FF92D050"/>
      </colorScale>
    </cfRule>
  </conditionalFormatting>
  <conditionalFormatting sqref="G10:G19">
    <cfRule type="dataBar" priority="4">
      <dataBar>
        <cfvo type="min"/>
        <cfvo type="max"/>
        <color rgb="FFFF555A"/>
      </dataBar>
      <extLst>
        <ext xmlns:x14="http://schemas.microsoft.com/office/spreadsheetml/2009/9/main" uri="{B025F937-C7B1-47D3-B67F-A62EFF666E3E}">
          <x14:id>{C2D4B4E6-66E2-4EEE-9986-F90AB87BDEB7}</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C2D4B4E6-66E2-4EEE-9986-F90AB87BDEB7}">
            <x14:dataBar minLength="0" maxLength="100" border="1" negativeBarBorderColorSameAsPositive="0">
              <x14:cfvo type="autoMin"/>
              <x14:cfvo type="autoMax"/>
              <x14:borderColor rgb="FFFF555A"/>
              <x14:negativeFillColor rgb="FFFF0000"/>
              <x14:negativeBorderColor rgb="FFFF0000"/>
              <x14:axisColor rgb="FF000000"/>
            </x14:dataBar>
          </x14:cfRule>
          <xm:sqref>G10:G19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27"/>
  <sheetViews>
    <sheetView showGridLines="0" topLeftCell="A8" zoomScaleNormal="100" workbookViewId="0">
      <selection activeCell="D19" sqref="D19"/>
    </sheetView>
  </sheetViews>
  <sheetFormatPr defaultColWidth="8.6640625" defaultRowHeight="14.25" x14ac:dyDescent="0.45"/>
  <cols>
    <col min="1" max="1" width="3" customWidth="1"/>
    <col min="2" max="2" width="61.3984375" customWidth="1"/>
    <col min="3" max="3" width="16" customWidth="1"/>
    <col min="4" max="5" width="20" customWidth="1"/>
    <col min="6" max="6" width="3" customWidth="1"/>
  </cols>
  <sheetData>
    <row r="2" spans="2:5" ht="7.5" customHeight="1" thickBot="1" x14ac:dyDescent="0.5"/>
    <row r="3" spans="2:5" ht="31.5" customHeight="1" x14ac:dyDescent="0.45">
      <c r="B3" s="30" t="s">
        <v>152</v>
      </c>
    </row>
    <row r="4" spans="2:5" ht="21.75" customHeight="1" x14ac:dyDescent="0.45">
      <c r="B4" s="31" t="s">
        <v>12</v>
      </c>
    </row>
    <row r="5" spans="2:5" ht="18" customHeight="1" thickBot="1" x14ac:dyDescent="0.5">
      <c r="B5" s="32" t="s">
        <v>96</v>
      </c>
    </row>
    <row r="6" spans="2:5" ht="7.5" customHeight="1" x14ac:dyDescent="0.45"/>
    <row r="8" spans="2:5" ht="18" customHeight="1" thickBot="1" x14ac:dyDescent="0.5">
      <c r="B8" s="16" t="s">
        <v>16</v>
      </c>
    </row>
    <row r="9" spans="2:5" ht="26.25" x14ac:dyDescent="0.45">
      <c r="B9" s="54" t="s">
        <v>17</v>
      </c>
      <c r="C9" s="55" t="s">
        <v>66</v>
      </c>
      <c r="D9" s="55" t="s">
        <v>97</v>
      </c>
      <c r="E9" s="56" t="s">
        <v>98</v>
      </c>
    </row>
    <row r="10" spans="2:5" x14ac:dyDescent="0.45">
      <c r="B10" s="57" t="s">
        <v>21</v>
      </c>
      <c r="C10" s="52">
        <v>24</v>
      </c>
      <c r="D10" s="52">
        <v>97</v>
      </c>
      <c r="E10" s="72">
        <f t="shared" ref="E10:E15" si="0">C10/D10</f>
        <v>0.24742268041237114</v>
      </c>
    </row>
    <row r="11" spans="2:5" x14ac:dyDescent="0.45">
      <c r="B11" s="57" t="s">
        <v>22</v>
      </c>
      <c r="C11" s="52">
        <v>22</v>
      </c>
      <c r="D11" s="52">
        <v>152</v>
      </c>
      <c r="E11" s="72">
        <f t="shared" si="0"/>
        <v>0.14473684210526316</v>
      </c>
    </row>
    <row r="12" spans="2:5" x14ac:dyDescent="0.45">
      <c r="B12" s="57" t="s">
        <v>23</v>
      </c>
      <c r="C12" s="52">
        <v>10</v>
      </c>
      <c r="D12" s="52">
        <v>63</v>
      </c>
      <c r="E12" s="72">
        <f t="shared" si="0"/>
        <v>0.15873015873015872</v>
      </c>
    </row>
    <row r="13" spans="2:5" x14ac:dyDescent="0.45">
      <c r="B13" s="57" t="s">
        <v>26</v>
      </c>
      <c r="C13" s="52">
        <v>10</v>
      </c>
      <c r="D13" s="52">
        <v>58</v>
      </c>
      <c r="E13" s="72">
        <f t="shared" si="0"/>
        <v>0.17241379310344829</v>
      </c>
    </row>
    <row r="14" spans="2:5" x14ac:dyDescent="0.45">
      <c r="B14" s="57" t="s">
        <v>24</v>
      </c>
      <c r="C14" s="52">
        <v>9</v>
      </c>
      <c r="D14" s="52">
        <v>64</v>
      </c>
      <c r="E14" s="72">
        <f t="shared" si="0"/>
        <v>0.140625</v>
      </c>
    </row>
    <row r="15" spans="2:5" ht="14.65" thickBot="1" x14ac:dyDescent="0.5">
      <c r="B15" s="65" t="s">
        <v>25</v>
      </c>
      <c r="C15" s="69">
        <v>8</v>
      </c>
      <c r="D15" s="69">
        <v>59</v>
      </c>
      <c r="E15" s="73">
        <f t="shared" si="0"/>
        <v>0.13559322033898305</v>
      </c>
    </row>
    <row r="17" spans="2:5" ht="18" customHeight="1" thickBot="1" x14ac:dyDescent="0.5">
      <c r="B17" s="16" t="s">
        <v>28</v>
      </c>
    </row>
    <row r="18" spans="2:5" ht="21.75" customHeight="1" x14ac:dyDescent="0.45">
      <c r="B18" s="54" t="s">
        <v>29</v>
      </c>
      <c r="C18" s="56" t="s">
        <v>30</v>
      </c>
    </row>
    <row r="19" spans="2:5" ht="19.5" customHeight="1" x14ac:dyDescent="0.45">
      <c r="B19" s="57" t="s">
        <v>99</v>
      </c>
      <c r="C19" s="63">
        <f>SUM(C10:C15)</f>
        <v>83</v>
      </c>
    </row>
    <row r="20" spans="2:5" ht="19.5" customHeight="1" x14ac:dyDescent="0.45">
      <c r="B20" s="57" t="s">
        <v>100</v>
      </c>
      <c r="C20" s="63" t="str">
        <f>INDEX(B10:B15,MATCH(MAX(C10:C15),C10:C15,0))</f>
        <v>Laptops</v>
      </c>
    </row>
    <row r="21" spans="2:5" ht="19.5" customHeight="1" x14ac:dyDescent="0.45">
      <c r="B21" s="57" t="s">
        <v>101</v>
      </c>
      <c r="C21" s="64">
        <f>C10/D10</f>
        <v>0.24742268041237114</v>
      </c>
    </row>
    <row r="22" spans="2:5" ht="19.5" customHeight="1" x14ac:dyDescent="0.45">
      <c r="B22" s="57" t="s">
        <v>102</v>
      </c>
      <c r="C22" s="64">
        <f>C11/D11</f>
        <v>0.14473684210526316</v>
      </c>
    </row>
    <row r="23" spans="2:5" ht="19.5" customHeight="1" x14ac:dyDescent="0.45">
      <c r="B23" s="57" t="s">
        <v>103</v>
      </c>
      <c r="C23" s="63" t="str">
        <f>IF(E10&gt;0.2,"High Risk","Acceptable")</f>
        <v>High Risk</v>
      </c>
    </row>
    <row r="24" spans="2:5" ht="19.5" customHeight="1" thickBot="1" x14ac:dyDescent="0.5">
      <c r="B24" s="65" t="s">
        <v>104</v>
      </c>
      <c r="C24" s="66">
        <f>COUNTIF(C10:C15,"&gt;9")</f>
        <v>4</v>
      </c>
    </row>
    <row r="25" spans="2:5" ht="14.65" thickBot="1" x14ac:dyDescent="0.5"/>
    <row r="26" spans="2:5" ht="18" customHeight="1" thickBot="1" x14ac:dyDescent="0.5">
      <c r="B26" s="33" t="s">
        <v>37</v>
      </c>
    </row>
    <row r="27" spans="2:5" ht="48" customHeight="1" thickBot="1" x14ac:dyDescent="0.5">
      <c r="B27" s="27" t="s">
        <v>105</v>
      </c>
      <c r="C27" s="28"/>
      <c r="D27" s="28"/>
      <c r="E27" s="29"/>
    </row>
  </sheetData>
  <mergeCells count="1">
    <mergeCell ref="B27:E27"/>
  </mergeCells>
  <conditionalFormatting sqref="C10:C15">
    <cfRule type="dataBar" priority="2">
      <dataBar>
        <cfvo type="min"/>
        <cfvo type="max"/>
        <color rgb="FFFF555A"/>
      </dataBar>
      <extLst>
        <ext xmlns:x14="http://schemas.microsoft.com/office/spreadsheetml/2009/9/main" uri="{B025F937-C7B1-47D3-B67F-A62EFF666E3E}">
          <x14:id>{B1406772-CB56-47F7-ACA0-61E915D2EB81}</x14:id>
        </ext>
      </extLst>
    </cfRule>
  </conditionalFormatting>
  <conditionalFormatting sqref="E10:E15">
    <cfRule type="colorScale" priority="1">
      <colorScale>
        <cfvo type="min"/>
        <cfvo type="percentile" val="50"/>
        <cfvo type="max"/>
        <color rgb="FF63BE7B"/>
        <color rgb="FFFFEB84"/>
        <color rgb="FFF8696B"/>
      </colorScale>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B1406772-CB56-47F7-ACA0-61E915D2EB81}">
            <x14:dataBar minLength="0" maxLength="100" border="1" negativeBarBorderColorSameAsPositive="0">
              <x14:cfvo type="autoMin"/>
              <x14:cfvo type="autoMax"/>
              <x14:borderColor rgb="FFFF555A"/>
              <x14:negativeFillColor rgb="FFFF0000"/>
              <x14:negativeBorderColor rgb="FFFF0000"/>
              <x14:axisColor rgb="FF000000"/>
            </x14:dataBar>
          </x14:cfRule>
          <xm:sqref>C10:C15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32"/>
  <sheetViews>
    <sheetView showGridLines="0" zoomScale="79" zoomScaleNormal="100" workbookViewId="0">
      <selection activeCell="E26" sqref="E26"/>
    </sheetView>
  </sheetViews>
  <sheetFormatPr defaultColWidth="8.6640625" defaultRowHeight="14.25" x14ac:dyDescent="0.45"/>
  <cols>
    <col min="1" max="1" width="3" customWidth="1"/>
    <col min="2" max="2" width="61.46484375" customWidth="1"/>
    <col min="3" max="3" width="24" customWidth="1"/>
    <col min="4" max="5" width="16" customWidth="1"/>
    <col min="6" max="6" width="14" customWidth="1"/>
    <col min="7" max="7" width="18" customWidth="1"/>
    <col min="8" max="8" width="16" customWidth="1"/>
    <col min="9" max="9" width="3" customWidth="1"/>
  </cols>
  <sheetData>
    <row r="2" spans="2:7" ht="7.5" customHeight="1" thickBot="1" x14ac:dyDescent="0.5"/>
    <row r="3" spans="2:7" ht="31.5" customHeight="1" x14ac:dyDescent="0.45">
      <c r="B3" s="30" t="s">
        <v>153</v>
      </c>
    </row>
    <row r="4" spans="2:7" ht="21.75" customHeight="1" x14ac:dyDescent="0.45">
      <c r="B4" s="31" t="s">
        <v>106</v>
      </c>
    </row>
    <row r="5" spans="2:7" ht="18" customHeight="1" thickBot="1" x14ac:dyDescent="0.5">
      <c r="B5" s="32" t="s">
        <v>107</v>
      </c>
    </row>
    <row r="6" spans="2:7" ht="7.5" customHeight="1" x14ac:dyDescent="0.45"/>
    <row r="8" spans="2:7" ht="18" customHeight="1" thickBot="1" x14ac:dyDescent="0.5">
      <c r="B8" s="16" t="s">
        <v>108</v>
      </c>
    </row>
    <row r="9" spans="2:7" x14ac:dyDescent="0.45">
      <c r="B9" s="54" t="s">
        <v>61</v>
      </c>
      <c r="C9" s="55" t="s">
        <v>62</v>
      </c>
      <c r="D9" s="55" t="s">
        <v>63</v>
      </c>
      <c r="E9" s="55" t="s">
        <v>109</v>
      </c>
      <c r="F9" s="55" t="s">
        <v>64</v>
      </c>
      <c r="G9" s="56" t="s">
        <v>110</v>
      </c>
    </row>
    <row r="10" spans="2:7" x14ac:dyDescent="0.45">
      <c r="B10" s="57" t="s">
        <v>111</v>
      </c>
      <c r="C10" s="52" t="s">
        <v>112</v>
      </c>
      <c r="D10" s="52" t="s">
        <v>51</v>
      </c>
      <c r="E10" s="52" t="s">
        <v>113</v>
      </c>
      <c r="F10" s="74" t="s">
        <v>114</v>
      </c>
      <c r="G10" s="68">
        <v>14</v>
      </c>
    </row>
    <row r="11" spans="2:7" x14ac:dyDescent="0.45">
      <c r="B11" s="57" t="s">
        <v>115</v>
      </c>
      <c r="C11" s="52" t="s">
        <v>116</v>
      </c>
      <c r="D11" s="52" t="s">
        <v>43</v>
      </c>
      <c r="E11" s="52" t="s">
        <v>117</v>
      </c>
      <c r="F11" s="74" t="s">
        <v>114</v>
      </c>
      <c r="G11" s="68">
        <v>13</v>
      </c>
    </row>
    <row r="12" spans="2:7" x14ac:dyDescent="0.45">
      <c r="B12" s="57" t="s">
        <v>118</v>
      </c>
      <c r="C12" s="52" t="s">
        <v>119</v>
      </c>
      <c r="D12" s="52" t="s">
        <v>48</v>
      </c>
      <c r="E12" s="52" t="s">
        <v>120</v>
      </c>
      <c r="F12" s="75" t="s">
        <v>72</v>
      </c>
      <c r="G12" s="68">
        <v>13</v>
      </c>
    </row>
    <row r="13" spans="2:7" x14ac:dyDescent="0.45">
      <c r="B13" s="57" t="s">
        <v>121</v>
      </c>
      <c r="C13" s="52" t="s">
        <v>122</v>
      </c>
      <c r="D13" s="52" t="s">
        <v>51</v>
      </c>
      <c r="E13" s="52" t="s">
        <v>123</v>
      </c>
      <c r="F13" s="74" t="s">
        <v>114</v>
      </c>
      <c r="G13" s="68">
        <v>13</v>
      </c>
    </row>
    <row r="14" spans="2:7" x14ac:dyDescent="0.45">
      <c r="B14" s="57" t="s">
        <v>124</v>
      </c>
      <c r="C14" s="52" t="s">
        <v>125</v>
      </c>
      <c r="D14" s="52" t="s">
        <v>42</v>
      </c>
      <c r="E14" s="52" t="s">
        <v>126</v>
      </c>
      <c r="F14" s="67" t="s">
        <v>69</v>
      </c>
      <c r="G14" s="68">
        <v>12</v>
      </c>
    </row>
    <row r="15" spans="2:7" x14ac:dyDescent="0.45">
      <c r="B15" s="57" t="s">
        <v>77</v>
      </c>
      <c r="C15" s="52" t="s">
        <v>78</v>
      </c>
      <c r="D15" s="52" t="s">
        <v>44</v>
      </c>
      <c r="E15" s="52" t="s">
        <v>127</v>
      </c>
      <c r="F15" s="67" t="s">
        <v>69</v>
      </c>
      <c r="G15" s="68">
        <v>12</v>
      </c>
    </row>
    <row r="16" spans="2:7" x14ac:dyDescent="0.45">
      <c r="B16" s="57" t="s">
        <v>128</v>
      </c>
      <c r="C16" s="52" t="s">
        <v>129</v>
      </c>
      <c r="D16" s="52" t="s">
        <v>46</v>
      </c>
      <c r="E16" s="52" t="s">
        <v>130</v>
      </c>
      <c r="F16" s="75" t="s">
        <v>72</v>
      </c>
      <c r="G16" s="68">
        <v>12</v>
      </c>
    </row>
    <row r="17" spans="2:8" x14ac:dyDescent="0.45">
      <c r="B17" s="57" t="s">
        <v>131</v>
      </c>
      <c r="C17" s="52" t="s">
        <v>132</v>
      </c>
      <c r="D17" s="52" t="s">
        <v>47</v>
      </c>
      <c r="E17" s="52" t="s">
        <v>133</v>
      </c>
      <c r="F17" s="74" t="s">
        <v>114</v>
      </c>
      <c r="G17" s="68">
        <v>11</v>
      </c>
    </row>
    <row r="18" spans="2:8" x14ac:dyDescent="0.45">
      <c r="B18" s="57" t="s">
        <v>134</v>
      </c>
      <c r="C18" s="52" t="s">
        <v>135</v>
      </c>
      <c r="D18" s="52" t="s">
        <v>47</v>
      </c>
      <c r="E18" s="52" t="s">
        <v>136</v>
      </c>
      <c r="F18" s="74" t="s">
        <v>114</v>
      </c>
      <c r="G18" s="68">
        <v>11</v>
      </c>
    </row>
    <row r="19" spans="2:8" ht="14.65" thickBot="1" x14ac:dyDescent="0.5">
      <c r="B19" s="65" t="s">
        <v>137</v>
      </c>
      <c r="C19" s="69" t="s">
        <v>138</v>
      </c>
      <c r="D19" s="69" t="s">
        <v>45</v>
      </c>
      <c r="E19" s="69" t="s">
        <v>139</v>
      </c>
      <c r="F19" s="76" t="s">
        <v>72</v>
      </c>
      <c r="G19" s="71">
        <v>11</v>
      </c>
    </row>
    <row r="21" spans="2:8" ht="18" customHeight="1" thickBot="1" x14ac:dyDescent="0.5">
      <c r="B21" s="16" t="s">
        <v>28</v>
      </c>
    </row>
    <row r="22" spans="2:8" x14ac:dyDescent="0.45">
      <c r="B22" s="54" t="s">
        <v>29</v>
      </c>
      <c r="C22" s="56" t="s">
        <v>30</v>
      </c>
    </row>
    <row r="23" spans="2:8" x14ac:dyDescent="0.45">
      <c r="B23" s="57" t="s">
        <v>140</v>
      </c>
      <c r="C23" s="77" t="str">
        <f>INDEX(C10:C19,MATCH(MAX(G10:G19),G10:G19,0))</f>
        <v>RenewTech_FR_41</v>
      </c>
    </row>
    <row r="24" spans="2:8" x14ac:dyDescent="0.45">
      <c r="B24" s="57" t="s">
        <v>141</v>
      </c>
      <c r="C24" s="77">
        <f>MAX(G10:G19)</f>
        <v>14</v>
      </c>
    </row>
    <row r="25" spans="2:8" x14ac:dyDescent="0.45">
      <c r="B25" s="57" t="s">
        <v>142</v>
      </c>
      <c r="C25" s="77">
        <f>COUNTIF(F10:F19,"Gold")</f>
        <v>5</v>
      </c>
    </row>
    <row r="26" spans="2:8" x14ac:dyDescent="0.45">
      <c r="B26" s="57" t="s">
        <v>143</v>
      </c>
      <c r="C26" s="77">
        <f>COUNTIF(F10:F19,"Bronze")</f>
        <v>2</v>
      </c>
    </row>
    <row r="27" spans="2:8" x14ac:dyDescent="0.45">
      <c r="B27" s="57" t="s">
        <v>144</v>
      </c>
      <c r="C27" s="77">
        <f>RANK(G10,G10:G19,0)</f>
        <v>1</v>
      </c>
    </row>
    <row r="28" spans="2:8" x14ac:dyDescent="0.45">
      <c r="B28" s="57" t="s">
        <v>145</v>
      </c>
      <c r="C28" s="77" t="str">
        <f>VLOOKUP("S042",B10:G19,3,FALSE())</f>
        <v>Germany</v>
      </c>
    </row>
    <row r="29" spans="2:8" ht="14.65" thickBot="1" x14ac:dyDescent="0.5">
      <c r="B29" s="65" t="s">
        <v>146</v>
      </c>
      <c r="C29" s="78" t="str">
        <f>IF(G10&gt;12,"Key Seller","Standard")</f>
        <v>Key Seller</v>
      </c>
    </row>
    <row r="30" spans="2:8" ht="14.65" thickBot="1" x14ac:dyDescent="0.5"/>
    <row r="31" spans="2:8" ht="18" customHeight="1" thickBot="1" x14ac:dyDescent="0.5">
      <c r="B31" s="26" t="s">
        <v>37</v>
      </c>
    </row>
    <row r="32" spans="2:8" ht="48" customHeight="1" thickBot="1" x14ac:dyDescent="0.5">
      <c r="B32" s="27" t="s">
        <v>147</v>
      </c>
      <c r="C32" s="28"/>
      <c r="D32" s="28"/>
      <c r="E32" s="28"/>
      <c r="F32" s="28"/>
      <c r="G32" s="28"/>
      <c r="H32" s="29"/>
    </row>
  </sheetData>
  <mergeCells count="1">
    <mergeCell ref="B32:H32"/>
  </mergeCells>
  <conditionalFormatting sqref="G10:G19">
    <cfRule type="dataBar" priority="1">
      <dataBar>
        <cfvo type="min"/>
        <cfvo type="max"/>
        <color rgb="FF63C384"/>
      </dataBar>
      <extLst>
        <ext xmlns:x14="http://schemas.microsoft.com/office/spreadsheetml/2009/9/main" uri="{B025F937-C7B1-47D3-B67F-A62EFF666E3E}">
          <x14:id>{0F31C8C7-ED16-4D2D-BEE9-D80EEE1192A2}</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0F31C8C7-ED16-4D2D-BEE9-D80EEE1192A2}">
            <x14:dataBar minLength="0" maxLength="100" border="1" negativeBarBorderColorSameAsPositive="0">
              <x14:cfvo type="autoMin"/>
              <x14:cfvo type="autoMax"/>
              <x14:borderColor rgb="FF63C384"/>
              <x14:negativeFillColor rgb="FFFF0000"/>
              <x14:negativeBorderColor rgb="FFFF0000"/>
              <x14:axisColor rgb="FF000000"/>
            </x14:dataBar>
          </x14:cfRule>
          <xm:sqref>G10:G19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Q1 – Category Revenue</vt:lpstr>
      <vt:lpstr>Q2 – Country Performance</vt:lpstr>
      <vt:lpstr>Q3 – Seller Returns</vt:lpstr>
      <vt:lpstr>Q4 – Category Returns</vt:lpstr>
      <vt:lpstr>Q5 – Top Sellers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Tushar Kumar</cp:lastModifiedBy>
  <cp:revision>0</cp:revision>
  <cp:lastPrinted>2026-04-12T14:48:25Z</cp:lastPrinted>
  <dcterms:created xsi:type="dcterms:W3CDTF">2026-04-12T13:31:40Z</dcterms:created>
  <dcterms:modified xsi:type="dcterms:W3CDTF">2026-04-12T19:17:23Z</dcterms:modified>
  <dc:language>en-US</dc:language>
</cp:coreProperties>
</file>